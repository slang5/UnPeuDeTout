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bfead390ac30106/Bureau/Complement excel HomeMade/"/>
    </mc:Choice>
  </mc:AlternateContent>
  <xr:revisionPtr revIDLastSave="133" documentId="8_{86E91D8F-8E86-499C-9A75-0885A146D54B}" xr6:coauthVersionLast="47" xr6:coauthVersionMax="47" xr10:uidLastSave="{5BE18D7A-CD30-4883-9E7E-C17872235148}"/>
  <bookViews>
    <workbookView xWindow="72825" yWindow="9405" windowWidth="13680" windowHeight="15585" activeTab="2" xr2:uid="{00000000-000D-0000-FFFF-FFFF00000000}"/>
  </bookViews>
  <sheets>
    <sheet name="Sheet1" sheetId="1" r:id="rId1"/>
    <sheet name="Feuil1" sheetId="2" r:id="rId2"/>
    <sheet name="Feuil2" sheetId="3" r:id="rId3"/>
  </sheets>
  <functionGroups builtInGroupCount="19"/>
  <externalReferences>
    <externalReference r:id="rId4"/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3" l="1" a="1"/>
  <c r="F8" i="3" l="1"/>
  <c r="I8" i="2" l="1"/>
  <c r="J2" i="2" l="1"/>
  <c r="J3" i="2"/>
  <c r="J4" i="2" s="1"/>
  <c r="J9" i="2" s="1"/>
  <c r="J5" i="2"/>
  <c r="J6" i="2"/>
  <c r="A27" i="2" a="1"/>
  <c r="D21" i="2" a="1"/>
  <c r="D44" i="2" a="1"/>
  <c r="A36" i="2" a="1"/>
  <c r="D41" i="2" a="1"/>
  <c r="A17" i="2" a="1"/>
  <c r="D19" i="2" a="1"/>
  <c r="D36" i="2" a="1"/>
  <c r="D18" i="2" a="1"/>
  <c r="D29" i="2" a="1"/>
  <c r="D30" i="2" a="1"/>
  <c r="A11" i="2" a="1"/>
  <c r="A7" i="2" a="1"/>
  <c r="A42" i="2" a="1"/>
  <c r="D8" i="2" a="1"/>
  <c r="A22" i="2" a="1"/>
  <c r="D11" i="2" a="1"/>
  <c r="A6" i="2" a="1"/>
  <c r="A18" i="2" a="1"/>
  <c r="D9" i="2" a="1"/>
  <c r="A29" i="2" a="1"/>
  <c r="D38" i="2" a="1"/>
  <c r="A31" i="2" a="1"/>
  <c r="D16" i="2" a="1"/>
  <c r="A33" i="2" a="1"/>
  <c r="A21" i="2" a="1"/>
  <c r="A23" i="2" a="1"/>
  <c r="D5" i="2" a="1"/>
  <c r="D13" i="2" a="1"/>
  <c r="D48" i="2" a="1"/>
  <c r="A4" i="2" a="1"/>
  <c r="D6" i="2" a="1"/>
  <c r="D40" i="2" a="1"/>
  <c r="A8" i="2" a="1"/>
  <c r="D45" i="2" a="1"/>
  <c r="A10" i="2" a="1"/>
  <c r="D51" i="2" a="1"/>
  <c r="A2" i="2" a="1"/>
  <c r="D49" i="2" a="1"/>
  <c r="A14" i="2" a="1"/>
  <c r="A3" i="2" a="1"/>
  <c r="D14" i="2" a="1"/>
  <c r="A24" i="2" a="1"/>
  <c r="D50" i="2" a="1"/>
  <c r="A47" i="2" a="1"/>
  <c r="D32" i="2" a="1"/>
  <c r="A50" i="2" a="1"/>
  <c r="A5" i="2" a="1"/>
  <c r="A43" i="2" a="1"/>
  <c r="D22" i="2" a="1"/>
  <c r="D28" i="2" a="1"/>
  <c r="A45" i="2" a="1"/>
  <c r="D47" i="2" a="1"/>
  <c r="D23" i="2" a="1"/>
  <c r="A20" i="2" a="1"/>
  <c r="D42" i="2" a="1"/>
  <c r="A9" i="2" a="1"/>
  <c r="D17" i="2" a="1"/>
  <c r="A34" i="2" a="1"/>
  <c r="D27" i="2" a="1"/>
  <c r="A26" i="2" a="1"/>
  <c r="D26" i="2" a="1"/>
  <c r="A32" i="2" a="1"/>
  <c r="D24" i="2" a="1"/>
  <c r="A40" i="2" a="1"/>
  <c r="A48" i="2" a="1"/>
  <c r="A12" i="2" a="1"/>
  <c r="A16" i="2" a="1"/>
  <c r="D7" i="2" a="1"/>
  <c r="D46" i="2" a="1"/>
  <c r="A49" i="2" a="1"/>
  <c r="E2" i="1" a="1"/>
  <c r="A44" i="2" a="1"/>
  <c r="D34" i="2" a="1"/>
  <c r="E3" i="1" a="1"/>
  <c r="D37" i="2" a="1"/>
  <c r="A30" i="2" a="1"/>
  <c r="A46" i="2" a="1"/>
  <c r="A51" i="2" a="1"/>
  <c r="D15" i="2" a="1"/>
  <c r="A19" i="2" a="1"/>
  <c r="D33" i="2" a="1"/>
  <c r="D4" i="2" a="1"/>
  <c r="A39" i="2" a="1"/>
  <c r="D10" i="2" a="1"/>
  <c r="D25" i="2" a="1"/>
  <c r="A25" i="2" a="1"/>
  <c r="D39" i="2" a="1"/>
  <c r="A41" i="2" a="1"/>
  <c r="D31" i="2" a="1"/>
  <c r="D12" i="2" a="1"/>
  <c r="A35" i="2" a="1"/>
  <c r="A13" i="2" a="1"/>
  <c r="A37" i="2" a="1"/>
  <c r="D35" i="2" a="1"/>
  <c r="D20" i="2" a="1"/>
  <c r="A15" i="2" a="1"/>
  <c r="D43" i="2" a="1"/>
  <c r="D3" i="2" a="1"/>
  <c r="A28" i="2" a="1"/>
  <c r="A38" i="2" a="1"/>
  <c r="E4" i="1" a="1"/>
  <c r="E4" i="1" l="1"/>
  <c r="A38" i="2"/>
  <c r="A28" i="2"/>
  <c r="D3" i="2"/>
  <c r="D43" i="2"/>
  <c r="A15" i="2"/>
  <c r="D20" i="2"/>
  <c r="D35" i="2"/>
  <c r="A37" i="2"/>
  <c r="A13" i="2"/>
  <c r="A35" i="2"/>
  <c r="D12" i="2"/>
  <c r="D31" i="2"/>
  <c r="A41" i="2"/>
  <c r="D39" i="2"/>
  <c r="A25" i="2"/>
  <c r="D25" i="2"/>
  <c r="D10" i="2"/>
  <c r="A39" i="2"/>
  <c r="D4" i="2"/>
  <c r="D33" i="2"/>
  <c r="A19" i="2"/>
  <c r="D15" i="2"/>
  <c r="A51" i="2"/>
  <c r="A46" i="2"/>
  <c r="A30" i="2"/>
  <c r="D37" i="2"/>
  <c r="L3" i="2" s="1"/>
  <c r="L4" i="2" s="1"/>
  <c r="E3" i="1"/>
  <c r="D34" i="2"/>
  <c r="A44" i="2"/>
  <c r="E2" i="1"/>
  <c r="A49" i="2"/>
  <c r="D46" i="2"/>
  <c r="D7" i="2"/>
  <c r="A16" i="2"/>
  <c r="A12" i="2"/>
  <c r="A48" i="2"/>
  <c r="A40" i="2"/>
  <c r="D24" i="2"/>
  <c r="A32" i="2"/>
  <c r="D26" i="2"/>
  <c r="A26" i="2"/>
  <c r="D27" i="2"/>
  <c r="A34" i="2"/>
  <c r="D17" i="2"/>
  <c r="A9" i="2"/>
  <c r="D42" i="2"/>
  <c r="A20" i="2"/>
  <c r="D23" i="2"/>
  <c r="D47" i="2"/>
  <c r="A45" i="2"/>
  <c r="D28" i="2"/>
  <c r="D22" i="2"/>
  <c r="A43" i="2"/>
  <c r="A5" i="2"/>
  <c r="A50" i="2"/>
  <c r="D32" i="2"/>
  <c r="A47" i="2"/>
  <c r="D50" i="2"/>
  <c r="A24" i="2"/>
  <c r="D14" i="2"/>
  <c r="A3" i="2"/>
  <c r="I3" i="2" s="1"/>
  <c r="I4" i="2" s="1"/>
  <c r="A14" i="2"/>
  <c r="D49" i="2"/>
  <c r="A2" i="2"/>
  <c r="D51" i="2"/>
  <c r="A10" i="2"/>
  <c r="D45" i="2"/>
  <c r="A8" i="2"/>
  <c r="D40" i="2"/>
  <c r="D6" i="2"/>
  <c r="A4" i="2"/>
  <c r="D48" i="2"/>
  <c r="D13" i="2"/>
  <c r="D5" i="2"/>
  <c r="A23" i="2"/>
  <c r="A21" i="2"/>
  <c r="A33" i="2"/>
  <c r="D16" i="2"/>
  <c r="A31" i="2"/>
  <c r="D38" i="2"/>
  <c r="A29" i="2"/>
  <c r="D9" i="2"/>
  <c r="A18" i="2"/>
  <c r="A6" i="2"/>
  <c r="D11" i="2"/>
  <c r="A22" i="2"/>
  <c r="D8" i="2"/>
  <c r="A42" i="2"/>
  <c r="A7" i="2"/>
  <c r="A11" i="2"/>
  <c r="D30" i="2"/>
  <c r="D29" i="2"/>
  <c r="D18" i="2"/>
  <c r="D36" i="2"/>
  <c r="D19" i="2"/>
  <c r="A17" i="2"/>
  <c r="D41" i="2"/>
  <c r="A36" i="2"/>
  <c r="D44" i="2"/>
  <c r="D21" i="2"/>
  <c r="A27" i="2"/>
  <c r="I6" i="2"/>
  <c r="J10" i="2"/>
  <c r="I5" i="2"/>
  <c r="C38" i="2" a="1"/>
  <c r="C47" i="2" a="1"/>
  <c r="C3" i="2" a="1"/>
  <c r="C43" i="2" a="1"/>
  <c r="C18" i="2" a="1"/>
  <c r="C36" i="2" a="1"/>
  <c r="C11" i="2" a="1"/>
  <c r="C37" i="2" a="1"/>
  <c r="C42" i="2" a="1"/>
  <c r="C41" i="2" a="1"/>
  <c r="C4" i="2" a="1"/>
  <c r="C39" i="2" a="1"/>
  <c r="C14" i="2" a="1"/>
  <c r="C31" i="2" a="1"/>
  <c r="C27" i="2" a="1"/>
  <c r="C48" i="2" a="1"/>
  <c r="C30" i="2" a="1"/>
  <c r="C8" i="2" a="1"/>
  <c r="C29" i="2" a="1"/>
  <c r="C40" i="2" a="1"/>
  <c r="C17" i="2" a="1"/>
  <c r="C46" i="2" a="1"/>
  <c r="C12" i="2" a="1"/>
  <c r="C16" i="2" a="1"/>
  <c r="C45" i="2" a="1"/>
  <c r="C10" i="2" a="1"/>
  <c r="C44" i="2" a="1"/>
  <c r="C6" i="2" a="1"/>
  <c r="C15" i="2" a="1"/>
  <c r="C23" i="2" a="1"/>
  <c r="C26" i="2" a="1"/>
  <c r="C50" i="2" a="1"/>
  <c r="C21" i="2" a="1"/>
  <c r="C13" i="2" a="1"/>
  <c r="C35" i="2" a="1"/>
  <c r="C25" i="2" a="1"/>
  <c r="C24" i="2" a="1"/>
  <c r="C19" i="2" a="1"/>
  <c r="C49" i="2" a="1"/>
  <c r="C9" i="2" a="1"/>
  <c r="C22" i="2" a="1"/>
  <c r="C7" i="2" a="1"/>
  <c r="C20" i="2" a="1"/>
  <c r="C34" i="2" a="1"/>
  <c r="C28" i="2" a="1"/>
  <c r="C33" i="2" a="1"/>
  <c r="C51" i="2" a="1"/>
  <c r="C5" i="2" a="1"/>
  <c r="C32" i="2" a="1"/>
  <c r="L2" i="2" l="1"/>
  <c r="C32" i="2"/>
  <c r="C5" i="2"/>
  <c r="C51" i="2"/>
  <c r="C33" i="2"/>
  <c r="C28" i="2"/>
  <c r="C34" i="2"/>
  <c r="C20" i="2"/>
  <c r="C7" i="2"/>
  <c r="K5" i="2" s="1"/>
  <c r="C22" i="2"/>
  <c r="C9" i="2"/>
  <c r="C49" i="2"/>
  <c r="C19" i="2"/>
  <c r="C24" i="2"/>
  <c r="C25" i="2"/>
  <c r="C35" i="2"/>
  <c r="C13" i="2"/>
  <c r="C21" i="2"/>
  <c r="C50" i="2"/>
  <c r="C26" i="2"/>
  <c r="C23" i="2"/>
  <c r="C15" i="2"/>
  <c r="C6" i="2"/>
  <c r="C44" i="2"/>
  <c r="C10" i="2"/>
  <c r="C45" i="2"/>
  <c r="C16" i="2"/>
  <c r="C12" i="2"/>
  <c r="C46" i="2"/>
  <c r="C17" i="2"/>
  <c r="C40" i="2"/>
  <c r="C29" i="2"/>
  <c r="C8" i="2"/>
  <c r="C30" i="2"/>
  <c r="C48" i="2"/>
  <c r="C27" i="2"/>
  <c r="C31" i="2"/>
  <c r="C14" i="2"/>
  <c r="C39" i="2"/>
  <c r="C4" i="2"/>
  <c r="C41" i="2"/>
  <c r="K2" i="2" s="1"/>
  <c r="C42" i="2"/>
  <c r="C37" i="2"/>
  <c r="C11" i="2"/>
  <c r="C36" i="2"/>
  <c r="C18" i="2"/>
  <c r="C43" i="2"/>
  <c r="C3" i="2"/>
  <c r="C47" i="2"/>
  <c r="C38" i="2"/>
  <c r="L6" i="2"/>
  <c r="L5" i="2"/>
  <c r="I2" i="2"/>
  <c r="I9" i="2" s="1"/>
  <c r="I11" i="2" a="1"/>
  <c r="L10" i="2" l="1"/>
  <c r="L9" i="2"/>
  <c r="I11" i="2"/>
  <c r="K6" i="2"/>
  <c r="I10" i="2"/>
  <c r="K3" i="2"/>
  <c r="K4" i="2" s="1"/>
  <c r="K10" i="2" s="1"/>
  <c r="K11" i="2" a="1"/>
  <c r="K11" i="2" l="1"/>
  <c r="K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<sst xmlns="http://schemas.openxmlformats.org/spreadsheetml/2006/main" count="37" uniqueCount="30">
  <si>
    <t>param</t>
  </si>
  <si>
    <t>spot</t>
  </si>
  <si>
    <t>strike</t>
  </si>
  <si>
    <t>mat</t>
  </si>
  <si>
    <t>vol</t>
  </si>
  <si>
    <t>inte</t>
  </si>
  <si>
    <t>type</t>
  </si>
  <si>
    <t>Call</t>
  </si>
  <si>
    <t>BS</t>
  </si>
  <si>
    <t>BT</t>
  </si>
  <si>
    <t>MC</t>
  </si>
  <si>
    <t>V1</t>
  </si>
  <si>
    <t>V2</t>
  </si>
  <si>
    <t>moyene</t>
  </si>
  <si>
    <t>variance</t>
  </si>
  <si>
    <t>ecart type</t>
  </si>
  <si>
    <t>skewness</t>
  </si>
  <si>
    <t>kurthosis</t>
  </si>
  <si>
    <t>VarR Gaus</t>
  </si>
  <si>
    <t>seuil Alpha</t>
  </si>
  <si>
    <t>VaR Rend Gaus</t>
  </si>
  <si>
    <t>DELTA V2</t>
  </si>
  <si>
    <t>DELTA V1</t>
  </si>
  <si>
    <t>test</t>
  </si>
  <si>
    <t>1 to 20</t>
  </si>
  <si>
    <t>20 to 1</t>
  </si>
  <si>
    <t>alea sur 20</t>
  </si>
  <si>
    <t>Colonne 1</t>
  </si>
  <si>
    <t>Colonne 2</t>
  </si>
  <si>
    <t>Colonne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</si>
</sst>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2" fillId="0" borderId="0" xfId="0" applyFo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ang\OneDrive\Bureau\Complement%20excel%20HomeMade\moducle%20Pricing%20Basic.xlam" TargetMode="External"/><Relationship Id="rId1" Type="http://schemas.openxmlformats.org/officeDocument/2006/relationships/externalLinkPath" Target="file:///C:\Users\luang\OneDrive\Bureau\Complement%20excel%20HomeMade\moducle%20Pricing%20Basic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ang\OneDrive\Bureau\Complement%20excel%20HomeMade\MonteCarloCholeskyCorrelation.xlam" TargetMode="External"/><Relationship Id="rId1" Type="http://schemas.openxmlformats.org/officeDocument/2006/relationships/externalLinkPath" Target="file:///C:\Users\luang\OneDrive\Bureau\Complement%20excel%20HomeMade\MonteCarloCholeskyCorrelation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ang\OneDrive\Bureau\Complement%20excel%20HomeMade\Rendement.xlam" TargetMode="External"/><Relationship Id="rId1" Type="http://schemas.openxmlformats.org/officeDocument/2006/relationships/externalLinkPath" Target="file:///C:\Users\luang\OneDrive\Bureau\Complement%20excel%20HomeMade\Rendement.xla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ang\OneDrive\Bureau\Complement%20excel%20HomeMade\VaR.xlam" TargetMode="External"/><Relationship Id="rId1" Type="http://schemas.openxmlformats.org/officeDocument/2006/relationships/externalLinkPath" Target="file:///C:\Users\luang\OneDrive\Bureau\Complement%20excel%20HomeMade\Va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Tree"/>
      <definedName name="BlackAndScholes"/>
      <definedName name="Monte_Carlo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VecteurGaussienCorrelationByCholesky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Rendement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VaRNormal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7"/>
  <sheetViews>
    <sheetView workbookViewId="0">
      <selection activeCell="F12" sqref="F12"/>
    </sheetView>
  </sheetViews>
  <sheetFormatPr baseColWidth="10" defaultColWidth="8.7265625" defaultRowHeight="14.75" x14ac:dyDescent="0.75"/>
  <sheetData>
    <row r="1" spans="1:5" x14ac:dyDescent="0.75">
      <c r="B1" t="s">
        <v>0</v>
      </c>
    </row>
    <row r="2" spans="1:5" x14ac:dyDescent="0.75">
      <c r="A2" t="s">
        <v>1</v>
      </c>
      <c r="B2">
        <v>100</v>
      </c>
      <c r="D2" t="s">
        <v>8</v>
      </c>
      <c r="E2" cm="1">
        <f t="array" ref="E2">[1]!BlackAndScholes(B2,B3,B4,B6,B5,B7)</f>
        <v>5.5148844669210106</v>
      </c>
    </row>
    <row r="3" spans="1:5" x14ac:dyDescent="0.75">
      <c r="A3" t="s">
        <v>2</v>
      </c>
      <c r="B3">
        <v>110</v>
      </c>
      <c r="D3" t="s">
        <v>9</v>
      </c>
      <c r="E3" cm="1">
        <f t="array" ref="E3">[1]!BinomialTree(B2,B3,B4,B5,B6,B7,1000)</f>
        <v>5.51603912281037</v>
      </c>
    </row>
    <row r="4" spans="1:5" x14ac:dyDescent="0.75">
      <c r="A4" t="s">
        <v>3</v>
      </c>
      <c r="B4">
        <v>2</v>
      </c>
      <c r="D4" t="s">
        <v>10</v>
      </c>
      <c r="E4" cm="1">
        <f t="array" ref="E4">[1]!Monte_Carlo(B2,B3,B4,B5,B6,B7,1000)</f>
        <v>4.9888659177954766</v>
      </c>
    </row>
    <row r="5" spans="1:5" x14ac:dyDescent="0.75">
      <c r="A5" t="s">
        <v>4</v>
      </c>
      <c r="B5" s="2">
        <v>0.125</v>
      </c>
    </row>
    <row r="6" spans="1:5" x14ac:dyDescent="0.75">
      <c r="A6" t="s">
        <v>5</v>
      </c>
      <c r="B6" s="1">
        <v>0.03</v>
      </c>
    </row>
    <row r="7" spans="1:5" x14ac:dyDescent="0.75">
      <c r="A7" t="s">
        <v>6</v>
      </c>
      <c r="B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B270-EBE9-4559-91D8-9413898DF7B7}">
  <sheetPr codeName="Feuil2"/>
  <dimension ref="A1:L51"/>
  <sheetViews>
    <sheetView workbookViewId="0">
      <selection activeCell="L16" sqref="H1:L16"/>
    </sheetView>
  </sheetViews>
  <sheetFormatPr baseColWidth="10" defaultRowHeight="14.75" x14ac:dyDescent="0.75"/>
  <cols>
    <col min="11" max="11" width="12.26953125" bestFit="1" customWidth="1"/>
  </cols>
  <sheetData>
    <row r="1" spans="1:12" x14ac:dyDescent="0.75">
      <c r="A1" t="s">
        <v>11</v>
      </c>
      <c r="B1" t="s">
        <v>12</v>
      </c>
      <c r="C1" t="s">
        <v>22</v>
      </c>
      <c r="D1" t="s">
        <v>21</v>
      </c>
      <c r="I1" t="s">
        <v>11</v>
      </c>
      <c r="J1" t="s">
        <v>12</v>
      </c>
      <c r="K1" t="s">
        <v>22</v>
      </c>
      <c r="L1" t="s">
        <v>21</v>
      </c>
    </row>
    <row r="2" spans="1:12" x14ac:dyDescent="0.75">
      <c r="A2" cm="1">
        <f t="array" ref="A2:B2">-[2]!VecteurGaussienCorrelationByCholesky(0,3,10,7,60%)</f>
        <v>-4.0401511428240502</v>
      </c>
      <c r="B2">
        <v>-11.460648338880304</v>
      </c>
      <c r="H2" t="s">
        <v>13</v>
      </c>
      <c r="I2">
        <f>AVERAGE(A2:A51)</f>
        <v>0.21580016255185808</v>
      </c>
      <c r="J2">
        <f>AVERAGE(B2:B51)</f>
        <v>-10.314573973739734</v>
      </c>
      <c r="K2">
        <f>AVERAGE(C2:C51)</f>
        <v>-1.1243084265760914</v>
      </c>
      <c r="L2">
        <f>AVERAGE(D2:D51)</f>
        <v>-0.92918942837210394</v>
      </c>
    </row>
    <row r="3" spans="1:12" x14ac:dyDescent="0.75">
      <c r="A3" cm="1">
        <f t="array" ref="A3:B3">-[2]!VecteurGaussienCorrelationByCholesky(0,3,10,7,60%)</f>
        <v>2.0811366351162395</v>
      </c>
      <c r="B3">
        <v>-7.5624619147679031</v>
      </c>
      <c r="C3" cm="1">
        <f t="array" ref="C3">[3]!Rendement(A3,A2)</f>
        <v>-1.5151135592569769</v>
      </c>
      <c r="D3" cm="1">
        <f t="array" ref="D3">[3]!Rendement(B3,B2)</f>
        <v>-0.34013664051516046</v>
      </c>
      <c r="H3" t="s">
        <v>14</v>
      </c>
      <c r="I3">
        <f>_xlfn.VAR.P(A2:A51)</f>
        <v>8.63460866169528</v>
      </c>
      <c r="J3">
        <f>_xlfn.VAR.P(B2:B51)</f>
        <v>44.57358319408565</v>
      </c>
      <c r="K3">
        <f>_xlfn.VAR.P(C2:C51)</f>
        <v>14.085624838926659</v>
      </c>
      <c r="L3">
        <f>_xlfn.VAR.P(D2:D51)</f>
        <v>62.053168595374316</v>
      </c>
    </row>
    <row r="4" spans="1:12" x14ac:dyDescent="0.75">
      <c r="A4" cm="1">
        <f t="array" ref="A4:B4">-[2]!VecteurGaussienCorrelationByCholesky(0,3,10,7,60%)</f>
        <v>1.8950865230489358</v>
      </c>
      <c r="B4">
        <v>-4.0720147420813433</v>
      </c>
      <c r="C4" cm="1">
        <f t="array" ref="C4">[3]!Rendement(A4,A3)</f>
        <v>-8.9398316731333735E-2</v>
      </c>
      <c r="D4" cm="1">
        <f t="array" ref="D4">[3]!Rendement(B4,B3)</f>
        <v>-0.46154905796886697</v>
      </c>
      <c r="H4" t="s">
        <v>15</v>
      </c>
      <c r="I4">
        <f>SQRT(I3)</f>
        <v>2.938470462961178</v>
      </c>
      <c r="J4">
        <f>SQRT(J3)</f>
        <v>6.6763450475605026</v>
      </c>
      <c r="K4">
        <f>SQRT(K3)</f>
        <v>3.7530820453231049</v>
      </c>
      <c r="L4">
        <f>SQRT(L3)</f>
        <v>7.877383359680695</v>
      </c>
    </row>
    <row r="5" spans="1:12" x14ac:dyDescent="0.75">
      <c r="A5" cm="1">
        <f t="array" ref="A5:B5">-[2]!VecteurGaussienCorrelationByCholesky(0,3,10,7,60%)</f>
        <v>3.7935447517006553</v>
      </c>
      <c r="B5">
        <v>-9.3798383340102145</v>
      </c>
      <c r="C5" cm="1">
        <f t="array" ref="C5">[3]!Rendement(A5,A4)</f>
        <v>1.0017791829353306</v>
      </c>
      <c r="D5" cm="1">
        <f t="array" ref="D5">[3]!Rendement(B5,B4)</f>
        <v>1.3034883044691201</v>
      </c>
      <c r="H5" t="s">
        <v>16</v>
      </c>
      <c r="I5">
        <f>SKEW(A2:A51)</f>
        <v>6.7070052183061363E-2</v>
      </c>
      <c r="J5">
        <f>SKEW(B2:B51)</f>
        <v>-0.18315874198503898</v>
      </c>
      <c r="K5">
        <f>SKEW(C2:C51)</f>
        <v>8.8065610057016755E-2</v>
      </c>
      <c r="L5">
        <f>SKEW(D2:D51)</f>
        <v>-6.1775281101280264</v>
      </c>
    </row>
    <row r="6" spans="1:12" x14ac:dyDescent="0.75">
      <c r="A6" cm="1">
        <f t="array" ref="A6:B6">-[2]!VecteurGaussienCorrelationByCholesky(0,3,10,7,60%)</f>
        <v>0.96750633187085855</v>
      </c>
      <c r="B6">
        <v>-18.578857925373327</v>
      </c>
      <c r="C6" cm="1">
        <f t="array" ref="C6">[3]!Rendement(A6,A5)</f>
        <v>-0.74495982117065496</v>
      </c>
      <c r="D6" cm="1">
        <f t="array" ref="D6">[3]!Rendement(B6,B5)</f>
        <v>0.98072261629590418</v>
      </c>
      <c r="H6" t="s">
        <v>17</v>
      </c>
      <c r="I6">
        <f>KURT(A2:A51)</f>
        <v>-0.47359178939484803</v>
      </c>
      <c r="J6">
        <f>KURT(B2:B51)</f>
        <v>-0.78979092803719375</v>
      </c>
      <c r="K6">
        <f>KURT(C2:C51)</f>
        <v>8.0554754250744995</v>
      </c>
      <c r="L6">
        <f>KURT(D2:D51)</f>
        <v>41.641189132365433</v>
      </c>
    </row>
    <row r="7" spans="1:12" x14ac:dyDescent="0.75">
      <c r="A7" cm="1">
        <f t="array" ref="A7:B7">-[2]!VecteurGaussienCorrelationByCholesky(0,3,10,7,60%)</f>
        <v>-2.6836933682210886</v>
      </c>
      <c r="B7">
        <v>-16.840397661399297</v>
      </c>
      <c r="C7" cm="1">
        <f t="array" ref="C7">[3]!Rendement(A7,A6)</f>
        <v>-3.7738251211562144</v>
      </c>
      <c r="D7" cm="1">
        <f t="array" ref="D7">[3]!Rendement(B7,B6)</f>
        <v>-9.3571966100230414E-2</v>
      </c>
    </row>
    <row r="8" spans="1:12" x14ac:dyDescent="0.75">
      <c r="A8" cm="1">
        <f t="array" ref="A8:B8">-[2]!VecteurGaussienCorrelationByCholesky(0,3,10,7,60%)</f>
        <v>-2.8601447928068842</v>
      </c>
      <c r="B8">
        <v>-19.229265434539407</v>
      </c>
      <c r="C8" cm="1">
        <f t="array" ref="C8">[3]!Rendement(A8,A7)</f>
        <v>6.5749472974536594E-2</v>
      </c>
      <c r="D8" cm="1">
        <f t="array" ref="D8">[3]!Rendement(B8,B7)</f>
        <v>0.14185340638456245</v>
      </c>
      <c r="H8" t="s">
        <v>19</v>
      </c>
      <c r="I8" s="1">
        <f>1-95%</f>
        <v>5.0000000000000044E-2</v>
      </c>
      <c r="J8" s="1">
        <v>0.95</v>
      </c>
      <c r="K8" s="1">
        <v>0.95</v>
      </c>
      <c r="L8" s="1">
        <v>0.95</v>
      </c>
    </row>
    <row r="9" spans="1:12" x14ac:dyDescent="0.75">
      <c r="A9" cm="1">
        <f t="array" ref="A9:B9">-[2]!VecteurGaussienCorrelationByCholesky(0,3,10,7,60%)</f>
        <v>-6.1507125675080303</v>
      </c>
      <c r="B9">
        <v>-17.212165822120184</v>
      </c>
      <c r="C9" cm="1">
        <f t="array" ref="C9">[3]!Rendement(A9,A8)</f>
        <v>1.1504899272850639</v>
      </c>
      <c r="D9" cm="1">
        <f t="array" ref="D9">[3]!Rendement(B9,B8)</f>
        <v>-0.10489738254879614</v>
      </c>
      <c r="H9" t="s">
        <v>18</v>
      </c>
      <c r="I9">
        <f>I2+_xlfn.NORM.S.INV(I8)*I4</f>
        <v>-4.617553636139605</v>
      </c>
      <c r="J9">
        <f>J2+_xlfn.NORM.S.INV(J8)*J4</f>
        <v>0.66703639251965363</v>
      </c>
      <c r="K9">
        <f>K2+_xlfn.NORM.S.INV(K8)*K4</f>
        <v>5.0489621879200648</v>
      </c>
      <c r="L9">
        <f>L2+_xlfn.NORM.S.INV(L8)*L4</f>
        <v>12.027953161685856</v>
      </c>
    </row>
    <row r="10" spans="1:12" x14ac:dyDescent="0.75">
      <c r="A10" cm="1">
        <f t="array" ref="A10:B10">-[2]!VecteurGaussienCorrelationByCholesky(0,3,10,7,60%)</f>
        <v>-0.67617733180351713</v>
      </c>
      <c r="B10">
        <v>-23.26611333563158</v>
      </c>
      <c r="C10" cm="1">
        <f t="array" ref="C10">[3]!Rendement(A10,A9)</f>
        <v>-0.89006520392848221</v>
      </c>
      <c r="D10" cm="1">
        <f t="array" ref="D10">[3]!Rendement(B10,B9)</f>
        <v>0.35172491225544528</v>
      </c>
      <c r="H10" t="s">
        <v>20</v>
      </c>
      <c r="I10">
        <f>-100*(I2+I4*_xlfn.NORM.S.INV(1-I8))</f>
        <v>-504.91539612433212</v>
      </c>
      <c r="J10">
        <f>-100*(J2+J4*_xlfn.NORM.S.INV(1-J8))</f>
        <v>2129.6184339999122</v>
      </c>
      <c r="K10">
        <f>-100*(K2+K4*_xlfn.NORM.S.INV(1-K8))</f>
        <v>729.7579041072247</v>
      </c>
      <c r="L10">
        <f>-100*(L2+L4*_xlfn.NORM.S.INV(1-L8))</f>
        <v>1388.6332018430062</v>
      </c>
    </row>
    <row r="11" spans="1:12" x14ac:dyDescent="0.75">
      <c r="A11" cm="1">
        <f t="array" ref="A11:B11">-[2]!VecteurGaussienCorrelationByCholesky(0,3,10,7,60%)</f>
        <v>6.5903769068636651</v>
      </c>
      <c r="B11">
        <v>-4.7418120236103931</v>
      </c>
      <c r="C11" cm="1">
        <f t="array" ref="C11">[3]!Rendement(A11,A10)</f>
        <v>-10.746521506844434</v>
      </c>
      <c r="D11" cm="1">
        <f t="array" ref="D11">[3]!Rendement(B11,B10)</f>
        <v>-0.79619234398087435</v>
      </c>
      <c r="H11" t="s">
        <v>23</v>
      </c>
      <c r="I11" cm="1">
        <f t="array" ref="I11">[4]!VaRNormal(100,I2,I4,I8)</f>
        <v>-504.91539612433212</v>
      </c>
      <c r="K11" cm="1">
        <f t="array" ref="K11">[4]!VaRNormal(100,K2,K4,1-K8)</f>
        <v>-504.89621879200649</v>
      </c>
    </row>
    <row r="12" spans="1:12" x14ac:dyDescent="0.75">
      <c r="A12" cm="1">
        <f t="array" ref="A12:B12">-[2]!VecteurGaussienCorrelationByCholesky(0,3,10,7,60%)</f>
        <v>2.6780485363262727</v>
      </c>
      <c r="B12">
        <v>-7.4294994552456508</v>
      </c>
      <c r="C12" cm="1">
        <f t="array" ref="C12">[3]!Rendement(A12,A11)</f>
        <v>-0.59364258309154194</v>
      </c>
      <c r="D12" cm="1">
        <f t="array" ref="D12">[3]!Rendement(B12,B11)</f>
        <v>0.56680598434791285</v>
      </c>
    </row>
    <row r="13" spans="1:12" x14ac:dyDescent="0.75">
      <c r="A13" cm="1">
        <f t="array" ref="A13:B13">-[2]!VecteurGaussienCorrelationByCholesky(0,3,10,7,60%)</f>
        <v>-0.10332483972906303</v>
      </c>
      <c r="B13">
        <v>-9.6242530605922738</v>
      </c>
      <c r="C13" cm="1">
        <f t="array" ref="C13">[3]!Rendement(A13,A12)</f>
        <v>-1.0385821385712461</v>
      </c>
      <c r="D13" cm="1">
        <f t="array" ref="D13">[3]!Rendement(B13,B12)</f>
        <v>0.29541069604588255</v>
      </c>
      <c r="K13" s="3"/>
    </row>
    <row r="14" spans="1:12" x14ac:dyDescent="0.75">
      <c r="A14" cm="1">
        <f t="array" ref="A14:B14">-[2]!VecteurGaussienCorrelationByCholesky(0,3,10,7,60%)</f>
        <v>-1.5312097232261563</v>
      </c>
      <c r="B14">
        <v>-23.645062010182919</v>
      </c>
      <c r="C14" cm="1">
        <f t="array" ref="C14">[3]!Rendement(A14,A13)</f>
        <v>13.819376707878506</v>
      </c>
      <c r="D14" cm="1">
        <f t="array" ref="D14">[3]!Rendement(B14,B13)</f>
        <v>1.4568204785679033</v>
      </c>
    </row>
    <row r="15" spans="1:12" x14ac:dyDescent="0.75">
      <c r="A15" cm="1">
        <f t="array" ref="A15:B15">-[2]!VecteurGaussienCorrelationByCholesky(0,3,10,7,60%)</f>
        <v>1.8408749861629901</v>
      </c>
      <c r="B15">
        <v>1.4973562897995212</v>
      </c>
      <c r="C15" cm="1">
        <f t="array" ref="C15">[3]!Rendement(A15,A14)</f>
        <v>-2.2022356952412698</v>
      </c>
      <c r="D15" cm="1">
        <f t="array" ref="D15">[3]!Rendement(B15,B14)</f>
        <v>-1.0633263845598997</v>
      </c>
    </row>
    <row r="16" spans="1:12" x14ac:dyDescent="0.75">
      <c r="A16" cm="1">
        <f t="array" ref="A16:B16">-[2]!VecteurGaussienCorrelationByCholesky(0,3,10,7,60%)</f>
        <v>4.2008420196276628</v>
      </c>
      <c r="B16">
        <v>-3.5277659457404518</v>
      </c>
      <c r="C16" cm="1">
        <f t="array" ref="C16">[3]!Rendement(A16,A15)</f>
        <v>1.2819811509219576</v>
      </c>
      <c r="D16" cm="1">
        <f t="array" ref="D16">[3]!Rendement(B16,B15)</f>
        <v>-3.3559963448731223</v>
      </c>
    </row>
    <row r="17" spans="1:4" x14ac:dyDescent="0.75">
      <c r="A17" cm="1">
        <f t="array" ref="A17:B17">-[2]!VecteurGaussienCorrelationByCholesky(0,3,10,7,60%)</f>
        <v>1.5564180497921241</v>
      </c>
      <c r="B17">
        <v>-12.046487581448062</v>
      </c>
      <c r="C17" cm="1">
        <f t="array" ref="C17">[3]!Rendement(A17,A16)</f>
        <v>-0.6294985523092641</v>
      </c>
      <c r="D17" cm="1">
        <f t="array" ref="D17">[3]!Rendement(B17,B16)</f>
        <v>2.4147638382850807</v>
      </c>
    </row>
    <row r="18" spans="1:4" x14ac:dyDescent="0.75">
      <c r="A18" cm="1">
        <f t="array" ref="A18:B18">-[2]!VecteurGaussienCorrelationByCholesky(0,3,10,7,60%)</f>
        <v>-3.3997568004224368</v>
      </c>
      <c r="B18">
        <v>-5.8714971065569088</v>
      </c>
      <c r="C18" cm="1">
        <f t="array" ref="C18">[3]!Rendement(A18,A17)</f>
        <v>-3.1843468089286873</v>
      </c>
      <c r="D18" cm="1">
        <f t="array" ref="D18">[3]!Rendement(B18,B17)</f>
        <v>-0.51259675761429546</v>
      </c>
    </row>
    <row r="19" spans="1:4" x14ac:dyDescent="0.75">
      <c r="A19" cm="1">
        <f t="array" ref="A19:B19">-[2]!VecteurGaussienCorrelationByCholesky(0,3,10,7,60%)</f>
        <v>-0.46082033085274654</v>
      </c>
      <c r="B19">
        <v>-13.49333436273081</v>
      </c>
      <c r="C19" cm="1">
        <f t="array" ref="C19">[3]!Rendement(A19,A18)</f>
        <v>-0.86445491312923106</v>
      </c>
      <c r="D19" cm="1">
        <f t="array" ref="D19">[3]!Rendement(B19,B18)</f>
        <v>1.29810798129532</v>
      </c>
    </row>
    <row r="20" spans="1:4" x14ac:dyDescent="0.75">
      <c r="A20" cm="1">
        <f t="array" ref="A20:B20">-[2]!VecteurGaussienCorrelationByCholesky(0,3,10,7,60%)</f>
        <v>1.5648339192622713</v>
      </c>
      <c r="B20">
        <v>-16.943694929721534</v>
      </c>
      <c r="C20" cm="1">
        <f t="array" ref="C20">[3]!Rendement(A20,A19)</f>
        <v>-4.395757119410403</v>
      </c>
      <c r="D20" cm="1">
        <f t="array" ref="D20">[3]!Rendement(B20,B19)</f>
        <v>0.25570852053594506</v>
      </c>
    </row>
    <row r="21" spans="1:4" x14ac:dyDescent="0.75">
      <c r="A21" cm="1">
        <f t="array" ref="A21:B21">-[2]!VecteurGaussienCorrelationByCholesky(0,3,10,7,60%)</f>
        <v>0.23561355535642314</v>
      </c>
      <c r="B21">
        <v>-6.7039093141399047</v>
      </c>
      <c r="C21" cm="1">
        <f t="array" ref="C21">[3]!Rendement(A21,A20)</f>
        <v>-0.84943222890547943</v>
      </c>
      <c r="D21" cm="1">
        <f t="array" ref="D21">[3]!Rendement(B21,B20)</f>
        <v>-0.604341948911017</v>
      </c>
    </row>
    <row r="22" spans="1:4" x14ac:dyDescent="0.75">
      <c r="A22" cm="1">
        <f t="array" ref="A22:B22">-[2]!VecteurGaussienCorrelationByCholesky(0,3,10,7,60%)</f>
        <v>-3.2764899771882763</v>
      </c>
      <c r="B22">
        <v>-19.112378383220236</v>
      </c>
      <c r="C22" cm="1">
        <f t="array" ref="C22">[3]!Rendement(A22,A21)</f>
        <v>-14.906203198843054</v>
      </c>
      <c r="D22" cm="1">
        <f t="array" ref="D22">[3]!Rendement(B22,B21)</f>
        <v>1.8509303285037513</v>
      </c>
    </row>
    <row r="23" spans="1:4" x14ac:dyDescent="0.75">
      <c r="A23" cm="1">
        <f t="array" ref="A23:B23">-[2]!VecteurGaussienCorrelationByCholesky(0,3,10,7,60%)</f>
        <v>-0.93771303528108807</v>
      </c>
      <c r="B23">
        <v>-13.43768885652225</v>
      </c>
      <c r="C23" cm="1">
        <f t="array" ref="C23">[3]!Rendement(A23,A22)</f>
        <v>-0.71380561460292091</v>
      </c>
      <c r="D23" cm="1">
        <f t="array" ref="D23">[3]!Rendement(B23,B22)</f>
        <v>-0.29691174028241796</v>
      </c>
    </row>
    <row r="24" spans="1:4" x14ac:dyDescent="0.75">
      <c r="A24" cm="1">
        <f t="array" ref="A24:B24">-[2]!VecteurGaussienCorrelationByCholesky(0,3,10,7,60%)</f>
        <v>3.7382046802681144</v>
      </c>
      <c r="B24">
        <v>-22.943452597107449</v>
      </c>
      <c r="C24" cm="1">
        <f t="array" ref="C24">[3]!Rendement(A24,A23)</f>
        <v>-4.9865124399678979</v>
      </c>
      <c r="D24" cm="1">
        <f t="array" ref="D24">[3]!Rendement(B24,B23)</f>
        <v>0.70739573166790404</v>
      </c>
    </row>
    <row r="25" spans="1:4" x14ac:dyDescent="0.75">
      <c r="A25" cm="1">
        <f t="array" ref="A25:B25">-[2]!VecteurGaussienCorrelationByCholesky(0,3,10,7,60%)</f>
        <v>6.0067345884557701</v>
      </c>
      <c r="B25">
        <v>-2.2004326759810304</v>
      </c>
      <c r="C25" cm="1">
        <f t="array" ref="C25">[3]!Rendement(A25,A24)</f>
        <v>0.60685010645937942</v>
      </c>
      <c r="D25" cm="1">
        <f t="array" ref="D25">[3]!Rendement(B25,B24)</f>
        <v>-0.90409321933271514</v>
      </c>
    </row>
    <row r="26" spans="1:4" x14ac:dyDescent="0.75">
      <c r="A26" cm="1">
        <f t="array" ref="A26:B26">-[2]!VecteurGaussienCorrelationByCholesky(0,3,10,7,60%)</f>
        <v>2.9487821360168316</v>
      </c>
      <c r="B26">
        <v>-7.9779917224760837</v>
      </c>
      <c r="C26" cm="1">
        <f t="array" ref="C26">[3]!Rendement(A26,A25)</f>
        <v>-0.50908732646785493</v>
      </c>
      <c r="D26" cm="1">
        <f t="array" ref="D26">[3]!Rendement(B26,B25)</f>
        <v>2.625646814628952</v>
      </c>
    </row>
    <row r="27" spans="1:4" x14ac:dyDescent="0.75">
      <c r="A27" cm="1">
        <f t="array" ref="A27:B27">-[2]!VecteurGaussienCorrelationByCholesky(0,3,10,7,60%)</f>
        <v>-1.6212706224459392</v>
      </c>
      <c r="B27">
        <v>-12.739506032058067</v>
      </c>
      <c r="C27" cm="1">
        <f t="array" ref="C27">[3]!Rendement(A27,A26)</f>
        <v>-1.5498102428943514</v>
      </c>
      <c r="D27" cm="1">
        <f t="array" ref="D27">[3]!Rendement(B27,B26)</f>
        <v>0.59683119201133727</v>
      </c>
    </row>
    <row r="28" spans="1:4" x14ac:dyDescent="0.75">
      <c r="A28" cm="1">
        <f t="array" ref="A28:B28">-[2]!VecteurGaussienCorrelationByCholesky(0,3,10,7,60%)</f>
        <v>2.0819611532259534</v>
      </c>
      <c r="B28">
        <v>-18.48162971545867</v>
      </c>
      <c r="C28" cm="1">
        <f t="array" ref="C28">[3]!Rendement(A28,A27)</f>
        <v>-2.284153998969642</v>
      </c>
      <c r="D28" cm="1">
        <f t="array" ref="D28">[3]!Rendement(B28,B27)</f>
        <v>0.4507336209858494</v>
      </c>
    </row>
    <row r="29" spans="1:4" x14ac:dyDescent="0.75">
      <c r="A29" cm="1">
        <f t="array" ref="A29:B29">-[2]!VecteurGaussienCorrelationByCholesky(0,3,10,7,60%)</f>
        <v>-4.9217100598672632</v>
      </c>
      <c r="B29">
        <v>-14.943064278391027</v>
      </c>
      <c r="C29" cm="1">
        <f t="array" ref="C29">[3]!Rendement(A29,A28)</f>
        <v>-3.3639778543615861</v>
      </c>
      <c r="D29" cm="1">
        <f t="array" ref="D29">[3]!Rendement(B29,B28)</f>
        <v>-0.191463928860552</v>
      </c>
    </row>
    <row r="30" spans="1:4" x14ac:dyDescent="0.75">
      <c r="A30" cm="1">
        <f t="array" ref="A30:B30">-[2]!VecteurGaussienCorrelationByCholesky(0,3,10,7,60%)</f>
        <v>1.663090560452505</v>
      </c>
      <c r="B30">
        <v>-15.516678685769953</v>
      </c>
      <c r="C30" cm="1">
        <f t="array" ref="C30">[3]!Rendement(A30,A29)</f>
        <v>-1.3379090885531275</v>
      </c>
      <c r="D30" cm="1">
        <f t="array" ref="D30">[3]!Rendement(B30,B29)</f>
        <v>3.8386665324623051E-2</v>
      </c>
    </row>
    <row r="31" spans="1:4" x14ac:dyDescent="0.75">
      <c r="A31" cm="1">
        <f t="array" ref="A31:B31">-[2]!VecteurGaussienCorrelationByCholesky(0,3,10,7,60%)</f>
        <v>-0.18712899596891217</v>
      </c>
      <c r="B31">
        <v>-14.346440523050044</v>
      </c>
      <c r="C31" cm="1">
        <f t="array" ref="C31">[3]!Rendement(A31,A30)</f>
        <v>-1.1125188251432303</v>
      </c>
      <c r="D31" cm="1">
        <f t="array" ref="D31">[3]!Rendement(B31,B30)</f>
        <v>-7.5418083110344536E-2</v>
      </c>
    </row>
    <row r="32" spans="1:4" x14ac:dyDescent="0.75">
      <c r="A32" cm="1">
        <f t="array" ref="A32:B32">-[2]!VecteurGaussienCorrelationByCholesky(0,3,10,7,60%)</f>
        <v>0.68206989003228302</v>
      </c>
      <c r="B32">
        <v>-7.8106750624417796</v>
      </c>
      <c r="C32" cm="1">
        <f t="array" ref="C32">[3]!Rendement(A32,A31)</f>
        <v>-4.6449182367525532</v>
      </c>
      <c r="D32" cm="1">
        <f t="array" ref="D32">[3]!Rendement(B32,B31)</f>
        <v>-0.45556704118400826</v>
      </c>
    </row>
    <row r="33" spans="1:4" x14ac:dyDescent="0.75">
      <c r="A33" cm="1">
        <f t="array" ref="A33:B33">-[2]!VecteurGaussienCorrelationByCholesky(0,3,10,7,60%)</f>
        <v>4.8353505922142652</v>
      </c>
      <c r="B33">
        <v>-4.54019848395063</v>
      </c>
      <c r="C33" cm="1">
        <f t="array" ref="C33">[3]!Rendement(A33,A32)</f>
        <v>6.0892303895505542</v>
      </c>
      <c r="D33" cm="1">
        <f t="array" ref="D33">[3]!Rendement(B33,B32)</f>
        <v>-0.4187188114145835</v>
      </c>
    </row>
    <row r="34" spans="1:4" x14ac:dyDescent="0.75">
      <c r="A34" cm="1">
        <f t="array" ref="A34:B34">-[2]!VecteurGaussienCorrelationByCholesky(0,3,10,7,60%)</f>
        <v>1.763876520555486</v>
      </c>
      <c r="B34">
        <v>-1.9717614329792426</v>
      </c>
      <c r="C34" cm="1">
        <f t="array" ref="C34">[3]!Rendement(A34,A33)</f>
        <v>-0.63521227945795156</v>
      </c>
      <c r="D34" cm="1">
        <f t="array" ref="D34">[3]!Rendement(B34,B33)</f>
        <v>-0.56571030100350927</v>
      </c>
    </row>
    <row r="35" spans="1:4" x14ac:dyDescent="0.75">
      <c r="A35" cm="1">
        <f t="array" ref="A35:B35">-[2]!VecteurGaussienCorrelationByCholesky(0,3,10,7,60%)</f>
        <v>-1.385902613123527</v>
      </c>
      <c r="B35">
        <v>-11.974709886297838</v>
      </c>
      <c r="C35" cm="1">
        <f t="array" ref="C35">[3]!Rendement(A35,A34)</f>
        <v>-1.7857140774724265</v>
      </c>
      <c r="D35" cm="1">
        <f t="array" ref="D35">[3]!Rendement(B35,B34)</f>
        <v>5.0731028034180543</v>
      </c>
    </row>
    <row r="36" spans="1:4" x14ac:dyDescent="0.75">
      <c r="A36" cm="1">
        <f t="array" ref="A36:B36">-[2]!VecteurGaussienCorrelationByCholesky(0,3,10,7,60%)</f>
        <v>-0.60198641166443467</v>
      </c>
      <c r="B36">
        <v>-7.736666040028056</v>
      </c>
      <c r="C36" cm="1">
        <f t="array" ref="C36">[3]!Rendement(A36,A35)</f>
        <v>-0.56563584918301979</v>
      </c>
      <c r="D36" cm="1">
        <f t="array" ref="D36">[3]!Rendement(B36,B35)</f>
        <v>-0.35391620227219023</v>
      </c>
    </row>
    <row r="37" spans="1:4" x14ac:dyDescent="0.75">
      <c r="A37" cm="1">
        <f t="array" ref="A37:B37">-[2]!VecteurGaussienCorrelationByCholesky(0,3,10,7,60%)</f>
        <v>1.1278853805660314</v>
      </c>
      <c r="B37">
        <v>-7.0721782636411863</v>
      </c>
      <c r="C37" cm="1">
        <f t="array" ref="C37">[3]!Rendement(A37,A36)</f>
        <v>-2.8736060461024966</v>
      </c>
      <c r="D37" cm="1">
        <f t="array" ref="D37">[3]!Rendement(B37,B36)</f>
        <v>-8.588812971232504E-2</v>
      </c>
    </row>
    <row r="38" spans="1:4" x14ac:dyDescent="0.75">
      <c r="A38" cm="1">
        <f t="array" ref="A38:B38">-[2]!VecteurGaussienCorrelationByCholesky(0,3,10,7,60%)</f>
        <v>4.6413826732606136</v>
      </c>
      <c r="B38">
        <v>-1.9421311134142822</v>
      </c>
      <c r="C38" cm="1">
        <f t="array" ref="C38">[3]!Rendement(A38,A37)</f>
        <v>3.1151191009598223</v>
      </c>
      <c r="D38" cm="1">
        <f t="array" ref="D38">[3]!Rendement(B38,B37)</f>
        <v>-0.7253843100365579</v>
      </c>
    </row>
    <row r="39" spans="1:4" x14ac:dyDescent="0.75">
      <c r="A39" cm="1">
        <f t="array" ref="A39:B39">-[2]!VecteurGaussienCorrelationByCholesky(0,3,10,7,60%)</f>
        <v>-4.0920257508780171</v>
      </c>
      <c r="B39">
        <v>-21.179750721733313</v>
      </c>
      <c r="C39" cm="1">
        <f t="array" ref="C39">[3]!Rendement(A39,A38)</f>
        <v>-1.8816393818274268</v>
      </c>
      <c r="D39" cm="1">
        <f t="array" ref="D39">[3]!Rendement(B39,B38)</f>
        <v>9.9054175464493426</v>
      </c>
    </row>
    <row r="40" spans="1:4" x14ac:dyDescent="0.75">
      <c r="A40" cm="1">
        <f t="array" ref="A40:B40">-[2]!VecteurGaussienCorrelationByCholesky(0,3,10,7,60%)</f>
        <v>-1.6841375785627672</v>
      </c>
      <c r="B40">
        <v>-9.8354778025145713</v>
      </c>
      <c r="C40" cm="1">
        <f t="array" ref="C40">[3]!Rendement(A40,A39)</f>
        <v>-0.58843426676838351</v>
      </c>
      <c r="D40" cm="1">
        <f t="array" ref="D40">[3]!Rendement(B40,B39)</f>
        <v>-0.53561881196165217</v>
      </c>
    </row>
    <row r="41" spans="1:4" x14ac:dyDescent="0.75">
      <c r="A41" cm="1">
        <f t="array" ref="A41:B41">-[2]!VecteurGaussienCorrelationByCholesky(0,3,10,7,60%)</f>
        <v>-4.1391681273576282</v>
      </c>
      <c r="B41">
        <v>-14.810862881780267</v>
      </c>
      <c r="C41" cm="1">
        <f t="array" ref="C41">[3]!Rendement(A41,A40)</f>
        <v>1.4577375269364685</v>
      </c>
      <c r="D41" cm="1">
        <f t="array" ref="D41">[3]!Rendement(B41,B40)</f>
        <v>0.50586104500115614</v>
      </c>
    </row>
    <row r="42" spans="1:4" x14ac:dyDescent="0.75">
      <c r="A42" cm="1">
        <f t="array" ref="A42:B42">-[2]!VecteurGaussienCorrelationByCholesky(0,3,10,7,60%)</f>
        <v>5.0750634289199636</v>
      </c>
      <c r="B42">
        <v>-1.678683976466921</v>
      </c>
      <c r="C42" cm="1">
        <f t="array" ref="C42">[3]!Rendement(A42,A41)</f>
        <v>-2.2261070999693349</v>
      </c>
      <c r="D42" cm="1">
        <f t="array" ref="D42">[3]!Rendement(B42,B41)</f>
        <v>-0.88665859714818029</v>
      </c>
    </row>
    <row r="43" spans="1:4" x14ac:dyDescent="0.75">
      <c r="A43" cm="1">
        <f t="array" ref="A43:B43">-[2]!VecteurGaussienCorrelationByCholesky(0,3,10,7,60%)</f>
        <v>1.7087490615999983</v>
      </c>
      <c r="B43">
        <v>1.8483435350113435</v>
      </c>
      <c r="C43" cm="1">
        <f t="array" ref="C43">[3]!Rendement(A43,A42)</f>
        <v>-0.66330488563693857</v>
      </c>
      <c r="D43" cm="1">
        <f t="array" ref="D43">[3]!Rendement(B43,B42)</f>
        <v>-2.1010670030350203</v>
      </c>
    </row>
    <row r="44" spans="1:4" x14ac:dyDescent="0.75">
      <c r="A44" cm="1">
        <f t="array" ref="A44:B44">-[2]!VecteurGaussienCorrelationByCholesky(0,3,10,7,60%)</f>
        <v>-2.3697544932207593</v>
      </c>
      <c r="B44">
        <v>-11.590815955175243</v>
      </c>
      <c r="C44" cm="1">
        <f t="array" ref="C44">[3]!Rendement(A44,A43)</f>
        <v>-2.386835871032944</v>
      </c>
      <c r="D44" cm="1">
        <f t="array" ref="D44">[3]!Rendement(B44,B43)</f>
        <v>-7.2709208194374479</v>
      </c>
    </row>
    <row r="45" spans="1:4" x14ac:dyDescent="0.75">
      <c r="A45" cm="1">
        <f t="array" ref="A45:B45">-[2]!VecteurGaussienCorrelationByCholesky(0,3,10,7,60%)</f>
        <v>1.6097923712541349</v>
      </c>
      <c r="B45">
        <v>-6.0651471237308749</v>
      </c>
      <c r="C45" cm="1">
        <f t="array" ref="C45">[3]!Rendement(A45,A44)</f>
        <v>-1.6793076564932465</v>
      </c>
      <c r="D45" cm="1">
        <f t="array" ref="D45">[3]!Rendement(B45,B44)</f>
        <v>-0.47672820039707248</v>
      </c>
    </row>
    <row r="46" spans="1:4" x14ac:dyDescent="0.75">
      <c r="A46" cm="1">
        <f t="array" ref="A46:B46">-[2]!VecteurGaussienCorrelationByCholesky(0,3,10,7,60%)</f>
        <v>-1.009415197680571</v>
      </c>
      <c r="B46">
        <v>-13.23662329937954</v>
      </c>
      <c r="C46" cm="1">
        <f t="array" ref="C46">[3]!Rendement(A46,A45)</f>
        <v>-1.6270468264762428</v>
      </c>
      <c r="D46" cm="1">
        <f t="array" ref="D46">[3]!Rendement(B46,B45)</f>
        <v>1.1824076200211364</v>
      </c>
    </row>
    <row r="47" spans="1:4" x14ac:dyDescent="0.75">
      <c r="A47" cm="1">
        <f t="array" ref="A47:B47">-[2]!VecteurGaussienCorrelationByCholesky(0,3,10,7,60%)</f>
        <v>-1.3710952895377104</v>
      </c>
      <c r="B47">
        <v>0.13092164637400394</v>
      </c>
      <c r="C47" cm="1">
        <f t="array" ref="C47">[3]!Rendement(A47,A46)</f>
        <v>0.35830656472005384</v>
      </c>
      <c r="D47" cm="1">
        <f t="array" ref="D47">[3]!Rendement(B47,B46)</f>
        <v>-1.00989086441556</v>
      </c>
    </row>
    <row r="48" spans="1:4" x14ac:dyDescent="0.75">
      <c r="A48" cm="1">
        <f t="array" ref="A48:B48">-[2]!VecteurGaussienCorrelationByCholesky(0,3,10,7,60%)</f>
        <v>-1.020853771515295</v>
      </c>
      <c r="B48">
        <v>-6.8656840381829802</v>
      </c>
      <c r="C48" cm="1">
        <f t="array" ref="C48">[3]!Rendement(A48,A47)</f>
        <v>-0.2554465183382737</v>
      </c>
      <c r="D48" cm="1">
        <f t="array" ref="D48">[3]!Rendement(B48,B47)</f>
        <v>-53.44116789189907</v>
      </c>
    </row>
    <row r="49" spans="1:4" x14ac:dyDescent="0.75">
      <c r="A49" cm="1">
        <f t="array" ref="A49:B49">-[2]!VecteurGaussienCorrelationByCholesky(0,3,10,7,60%)</f>
        <v>-3.9447283225908012</v>
      </c>
      <c r="B49">
        <v>-11.943476019744431</v>
      </c>
      <c r="C49" cm="1">
        <f t="array" ref="C49">[3]!Rendement(A49,A48)</f>
        <v>2.8641462985785706</v>
      </c>
      <c r="D49" cm="1">
        <f t="array" ref="D49">[3]!Rendement(B49,B48)</f>
        <v>0.73959010541727466</v>
      </c>
    </row>
    <row r="50" spans="1:4" x14ac:dyDescent="0.75">
      <c r="A50" cm="1">
        <f t="array" ref="A50:B50">-[2]!VecteurGaussienCorrelationByCholesky(0,3,10,7,60%)</f>
        <v>-0.56876250276344442</v>
      </c>
      <c r="B50">
        <v>-3.6212452727985047</v>
      </c>
      <c r="C50" cm="1">
        <f t="array" ref="C50">[3]!Rendement(A50,A49)</f>
        <v>-0.85581706615732289</v>
      </c>
      <c r="D50" cm="1">
        <f t="array" ref="D50">[3]!Rendement(B50,B49)</f>
        <v>-0.69680139460136903</v>
      </c>
    </row>
    <row r="51" spans="1:4" x14ac:dyDescent="0.75">
      <c r="A51" cm="1">
        <f t="array" ref="A51:B51">-[2]!VecteurGaussienCorrelationByCholesky(0,3,10,7,60%)</f>
        <v>0.5409165226832664</v>
      </c>
      <c r="B51">
        <v>-2.0008900151048152</v>
      </c>
      <c r="C51" cm="1">
        <f t="array" ref="C51">[3]!Rendement(A51,A50)</f>
        <v>-1.9510411112812767</v>
      </c>
      <c r="D51" cm="1">
        <f t="array" ref="D51">[3]!Rendement(B51,B50)</f>
        <v>-0.44745802496870812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D07D5-392C-4725-9BBB-51006BC56E08}">
  <sheetPr codeName="Feuil3"/>
  <dimension ref="A1:H21"/>
  <sheetViews>
    <sheetView tabSelected="1" zoomScaleNormal="100" workbookViewId="0">
      <selection activeCell="H18" sqref="H18"/>
    </sheetView>
  </sheetViews>
  <sheetFormatPr baseColWidth="10" defaultRowHeight="14.75" x14ac:dyDescent="0.75"/>
  <sheetData>
    <row r="1" spans="1:8" x14ac:dyDescent="0.75">
      <c r="A1" t="s">
        <v>24</v>
      </c>
      <c r="B1" t="s">
        <v>25</v>
      </c>
      <c r="C1" t="s">
        <v>26</v>
      </c>
    </row>
    <row r="2" spans="1:8" ht="15.5" thickBot="1" x14ac:dyDescent="0.9">
      <c r="A2">
        <v>1</v>
      </c>
      <c r="B2">
        <v>20</v>
      </c>
      <c r="C2">
        <v>12.384808550983255</v>
      </c>
      <c r="G2" s="4"/>
    </row>
    <row r="3" spans="1:8" x14ac:dyDescent="0.75">
      <c r="A3">
        <v>2</v>
      </c>
      <c r="B3">
        <v>19</v>
      </c>
      <c r="C3">
        <v>19.822773272138228</v>
      </c>
      <c r="E3" s="7"/>
      <c r="F3" s="7" t="s">
        <v>27</v>
      </c>
      <c r="G3" s="7" t="s">
        <v>28</v>
      </c>
      <c r="H3" s="7" t="s">
        <v>29</v>
      </c>
    </row>
    <row r="4" spans="1:8" x14ac:dyDescent="0.75">
      <c r="A4">
        <v>3</v>
      </c>
      <c r="B4">
        <v>18</v>
      </c>
      <c r="C4">
        <v>0.89990730894731863</v>
      </c>
      <c r="E4" s="5" t="s">
        <v>27</v>
      </c>
      <c r="F4" s="5">
        <v>1</v>
      </c>
      <c r="G4" s="5"/>
      <c r="H4" s="5"/>
    </row>
    <row r="5" spans="1:8" x14ac:dyDescent="0.75">
      <c r="A5">
        <v>4</v>
      </c>
      <c r="B5">
        <v>17</v>
      </c>
      <c r="C5">
        <v>14.272125041128019</v>
      </c>
      <c r="E5" s="5" t="s">
        <v>28</v>
      </c>
      <c r="F5" s="5">
        <v>-0.99999999999999978</v>
      </c>
      <c r="G5" s="5">
        <v>1</v>
      </c>
      <c r="H5" s="5"/>
    </row>
    <row r="6" spans="1:8" ht="15.5" thickBot="1" x14ac:dyDescent="0.9">
      <c r="A6">
        <v>5</v>
      </c>
      <c r="B6">
        <v>16</v>
      </c>
      <c r="C6">
        <v>8.0200436959887433</v>
      </c>
      <c r="E6" s="6" t="s">
        <v>29</v>
      </c>
      <c r="F6" s="6">
        <v>-8.7489341759727959E-2</v>
      </c>
      <c r="G6" s="6">
        <v>8.7489341759727959E-2</v>
      </c>
      <c r="H6" s="6">
        <v>1</v>
      </c>
    </row>
    <row r="7" spans="1:8" x14ac:dyDescent="0.75">
      <c r="A7">
        <v>6</v>
      </c>
      <c r="B7">
        <v>15</v>
      </c>
      <c r="C7">
        <v>12.133614745573864</v>
      </c>
    </row>
    <row r="8" spans="1:8" x14ac:dyDescent="0.75">
      <c r="A8">
        <v>7</v>
      </c>
      <c r="B8">
        <v>14</v>
      </c>
      <c r="C8">
        <v>1.4362798664635656</v>
      </c>
      <c r="F8" cm="1">
        <f t="array" ref="F8:H10">MatriceCorr(A2:C21)</f>
        <v>0.99999999999999978</v>
      </c>
      <c r="G8">
        <v>-0.99999999999999978</v>
      </c>
      <c r="H8">
        <v>-8.7489341759727959E-2</v>
      </c>
    </row>
    <row r="9" spans="1:8" x14ac:dyDescent="0.75">
      <c r="A9">
        <v>8</v>
      </c>
      <c r="B9">
        <v>13</v>
      </c>
      <c r="C9">
        <v>1.4582905908147725</v>
      </c>
      <c r="F9">
        <v>-0.99999999999999978</v>
      </c>
      <c r="G9">
        <v>0.99999999999999978</v>
      </c>
      <c r="H9">
        <v>8.7489341759727959E-2</v>
      </c>
    </row>
    <row r="10" spans="1:8" x14ac:dyDescent="0.75">
      <c r="A10">
        <v>9</v>
      </c>
      <c r="B10">
        <v>12</v>
      </c>
      <c r="C10">
        <v>18.621277349803766</v>
      </c>
      <c r="F10">
        <v>-8.7489341759727959E-2</v>
      </c>
      <c r="G10">
        <v>8.7489341759727959E-2</v>
      </c>
      <c r="H10">
        <v>1</v>
      </c>
    </row>
    <row r="11" spans="1:8" x14ac:dyDescent="0.75">
      <c r="A11">
        <v>10</v>
      </c>
      <c r="B11">
        <v>11</v>
      </c>
      <c r="C11">
        <v>16.93759002446421</v>
      </c>
    </row>
    <row r="12" spans="1:8" x14ac:dyDescent="0.75">
      <c r="A12">
        <v>11</v>
      </c>
      <c r="B12">
        <v>10</v>
      </c>
      <c r="C12">
        <v>4.8991954328798482</v>
      </c>
    </row>
    <row r="13" spans="1:8" x14ac:dyDescent="0.75">
      <c r="A13">
        <v>12</v>
      </c>
      <c r="B13">
        <v>9</v>
      </c>
      <c r="C13">
        <v>16.234447202051641</v>
      </c>
    </row>
    <row r="14" spans="1:8" x14ac:dyDescent="0.75">
      <c r="A14">
        <v>13</v>
      </c>
      <c r="B14">
        <v>8</v>
      </c>
      <c r="C14">
        <v>1.0906425990150215</v>
      </c>
    </row>
    <row r="15" spans="1:8" x14ac:dyDescent="0.75">
      <c r="A15">
        <v>14</v>
      </c>
      <c r="B15">
        <v>7</v>
      </c>
      <c r="C15">
        <v>0.86534561123498888</v>
      </c>
    </row>
    <row r="16" spans="1:8" x14ac:dyDescent="0.75">
      <c r="A16">
        <v>15</v>
      </c>
      <c r="B16">
        <v>6</v>
      </c>
      <c r="C16">
        <v>6.6559437594075295</v>
      </c>
    </row>
    <row r="17" spans="1:3" x14ac:dyDescent="0.75">
      <c r="A17">
        <v>16</v>
      </c>
      <c r="B17">
        <v>5</v>
      </c>
      <c r="C17">
        <v>8.5703247680236228</v>
      </c>
    </row>
    <row r="18" spans="1:3" x14ac:dyDescent="0.75">
      <c r="A18">
        <v>17</v>
      </c>
      <c r="B18">
        <v>4</v>
      </c>
      <c r="C18">
        <v>9.6965938606430662</v>
      </c>
    </row>
    <row r="19" spans="1:3" x14ac:dyDescent="0.75">
      <c r="A19">
        <v>18</v>
      </c>
      <c r="B19">
        <v>3</v>
      </c>
      <c r="C19">
        <v>7.0846853331731801</v>
      </c>
    </row>
    <row r="20" spans="1:3" x14ac:dyDescent="0.75">
      <c r="A20">
        <v>19</v>
      </c>
      <c r="B20">
        <v>2</v>
      </c>
      <c r="C20">
        <v>19.6769709508971</v>
      </c>
    </row>
    <row r="21" spans="1:3" x14ac:dyDescent="0.75">
      <c r="A21">
        <v>20</v>
      </c>
      <c r="B21">
        <v>1</v>
      </c>
      <c r="C21">
        <v>7.5445097561774759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Sheet1</vt:lpstr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sacha luangrath</dc:creator>
  <cp:lastModifiedBy>Sacha Luangrath</cp:lastModifiedBy>
  <cp:lastPrinted>2024-02-10T11:30:59Z</cp:lastPrinted>
  <dcterms:created xsi:type="dcterms:W3CDTF">2015-06-05T18:17:20Z</dcterms:created>
  <dcterms:modified xsi:type="dcterms:W3CDTF">2024-02-10T12:23:51Z</dcterms:modified>
</cp:coreProperties>
</file>